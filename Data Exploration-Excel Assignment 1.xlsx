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NDOWS\Desktop\ML-DA- DAF69\EXCEL ASSIGNMENTS\"/>
    </mc:Choice>
  </mc:AlternateContent>
  <xr:revisionPtr revIDLastSave="0" documentId="8_{9C416C0B-A89A-4DFF-B027-68DA3DFAA6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ctions" sheetId="1" r:id="rId1"/>
    <sheet name="Dataset" sheetId="2" r:id="rId2"/>
    <sheet name="IF Function" sheetId="4" r:id="rId3"/>
    <sheet name="LEFT, RIGHT, MI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J9" i="4"/>
  <c r="J7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K6" i="2"/>
  <c r="K7" i="2"/>
  <c r="K9" i="2"/>
  <c r="K8" i="2"/>
  <c r="K5" i="2"/>
</calcChain>
</file>

<file path=xl/sharedStrings.xml><?xml version="1.0" encoding="utf-8"?>
<sst xmlns="http://schemas.openxmlformats.org/spreadsheetml/2006/main" count="461" uniqueCount="125">
  <si>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</si>
  <si>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</si>
  <si>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</si>
  <si>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</si>
  <si>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</si>
  <si>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</si>
  <si>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</si>
  <si>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</si>
  <si>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</si>
  <si>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</si>
  <si>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</si>
  <si>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</si>
  <si>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</si>
  <si>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</si>
  <si>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</si>
  <si>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</si>
  <si>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</si>
  <si>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</si>
  <si>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</si>
  <si>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</si>
  <si>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</si>
  <si>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</si>
  <si>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</si>
  <si>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</si>
  <si>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</si>
  <si>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</si>
  <si>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</si>
  <si>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</si>
  <si>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</si>
  <si>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</si>
  <si>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</si>
  <si>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</si>
  <si>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</si>
  <si>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</si>
  <si>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</si>
  <si>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</si>
  <si>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</si>
  <si>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</si>
  <si>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</si>
  <si>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</si>
  <si>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</si>
  <si>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</si>
  <si>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</si>
  <si>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</si>
  <si>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</si>
  <si>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</si>
  <si>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</si>
  <si>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</si>
  <si>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</si>
  <si>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</si>
  <si>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</si>
  <si>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</si>
  <si>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</si>
  <si>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</si>
  <si>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</si>
  <si>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</si>
  <si>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</si>
  <si>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</si>
  <si>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</si>
  <si>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</si>
  <si>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</si>
  <si>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</si>
  <si>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</si>
  <si>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</si>
  <si>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</si>
  <si>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</si>
  <si>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</si>
  <si>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</si>
  <si>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</si>
  <si>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</si>
  <si>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</si>
  <si>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</si>
  <si>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</si>
  <si>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</si>
  <si>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</si>
  <si>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</si>
  <si>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</si>
  <si>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</si>
  <si>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</si>
  <si>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</si>
  <si>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</si>
  <si>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</si>
  <si>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</si>
  <si>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</si>
  <si>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</si>
  <si>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</si>
  <si>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</si>
  <si>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</si>
  <si>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</si>
  <si>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</si>
  <si>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</si>
  <si>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</si>
  <si>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</si>
  <si>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</si>
  <si>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</si>
  <si>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</si>
  <si>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</si>
  <si>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</si>
  <si>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</si>
  <si>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</si>
  <si>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</si>
  <si>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</si>
  <si>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</si>
  <si>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</si>
  <si>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</si>
  <si>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</si>
  <si>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</si>
  <si>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</si>
  <si>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</si>
  <si>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</si>
  <si>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</t>
  </si>
  <si>
    <t>Price Range</t>
  </si>
  <si>
    <t xml:space="preserve"> What is the total price of all products in the dataset?</t>
  </si>
  <si>
    <t>How many products are there in the dataset?</t>
  </si>
  <si>
    <t>Calculate the average price of the products.</t>
  </si>
  <si>
    <t>Determine the minimum price among all products.</t>
  </si>
  <si>
    <t xml:space="preserve"> Find the maximum price among all products.</t>
  </si>
  <si>
    <t>S NO</t>
  </si>
  <si>
    <t>Questions</t>
  </si>
  <si>
    <t>Answer</t>
  </si>
  <si>
    <t xml:space="preserve"> Calculate the total price for products in the 
'Electronics' category using the SUMIF function.</t>
  </si>
  <si>
    <t xml:space="preserve"> Determine the count of products with a price less than
 $100 using the COUNTIF function.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</si>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</sst>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4DD0E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9" fillId="0" borderId="5" xfId="0" applyFont="1" applyBorder="1" applyAlignment="1">
      <alignment horizontal="left" wrapText="1"/>
    </xf>
    <xf numFmtId="0" fontId="0" fillId="0" borderId="6" xfId="0" applyBorder="1"/>
    <xf numFmtId="0" fontId="8" fillId="5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6" fillId="3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2" borderId="10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9" fillId="0" borderId="8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K16" sqref="K1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B4" s="2"/>
      <c r="C4" s="3" t="s">
        <v>2</v>
      </c>
    </row>
    <row r="5" spans="1:11" ht="15.75" customHeight="1" x14ac:dyDescent="0.25">
      <c r="B5" s="2"/>
      <c r="C5" s="3" t="s">
        <v>3</v>
      </c>
    </row>
    <row r="6" spans="1:11" ht="15.75" customHeight="1" x14ac:dyDescent="0.25">
      <c r="B6" s="2"/>
      <c r="C6" s="3" t="s">
        <v>4</v>
      </c>
    </row>
    <row r="7" spans="1:11" ht="15.75" customHeight="1" x14ac:dyDescent="0.25">
      <c r="B7" s="4"/>
    </row>
    <row r="8" spans="1:11" ht="15.75" customHeight="1" x14ac:dyDescent="0.25">
      <c r="B8" s="2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  <c r="K10" t="s">
        <v>110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C13" s="3" t="s">
        <v>9</v>
      </c>
    </row>
    <row r="14" spans="1:11" ht="15.75" customHeight="1" x14ac:dyDescent="0.25">
      <c r="B14" s="4"/>
    </row>
    <row r="15" spans="1:11" ht="15.75" customHeight="1" x14ac:dyDescent="0.25">
      <c r="B15" s="2" t="s">
        <v>10</v>
      </c>
    </row>
    <row r="16" spans="1:11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>
      <selection activeCell="J10" sqref="J10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7" width="12.5703125" customWidth="1"/>
    <col min="9" max="9" width="7.7109375" customWidth="1"/>
    <col min="10" max="10" width="53.28515625" customWidth="1"/>
    <col min="11" max="11" width="19.5703125" customWidth="1"/>
  </cols>
  <sheetData>
    <row r="1" spans="1:11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/>
    </row>
    <row r="2" spans="1:11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/>
    </row>
    <row r="3" spans="1:11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/>
    </row>
    <row r="4" spans="1:11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/>
      <c r="I4" s="13" t="s">
        <v>117</v>
      </c>
      <c r="J4" s="14" t="s">
        <v>118</v>
      </c>
      <c r="K4" s="14" t="s">
        <v>119</v>
      </c>
    </row>
    <row r="5" spans="1:11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/>
      <c r="I5" s="11">
        <v>1</v>
      </c>
      <c r="J5" s="9" t="s">
        <v>112</v>
      </c>
      <c r="K5" s="12">
        <f>SUM(D2:D35)</f>
        <v>10100</v>
      </c>
    </row>
    <row r="6" spans="1:11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/>
      <c r="I6" s="11">
        <v>2</v>
      </c>
      <c r="J6" s="9" t="s">
        <v>113</v>
      </c>
      <c r="K6" s="12">
        <f>COUNTA(B2:B35)</f>
        <v>34</v>
      </c>
    </row>
    <row r="7" spans="1:11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/>
      <c r="I7" s="11">
        <v>3</v>
      </c>
      <c r="J7" s="9" t="s">
        <v>114</v>
      </c>
      <c r="K7" s="12">
        <f>AVERAGE(Dataset!D2:D35)</f>
        <v>297.05882352941177</v>
      </c>
    </row>
    <row r="8" spans="1:11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/>
      <c r="I8" s="11">
        <v>4</v>
      </c>
      <c r="J8" s="9" t="s">
        <v>115</v>
      </c>
      <c r="K8" s="12">
        <f>MIN(Dataset!D2:D35)</f>
        <v>30</v>
      </c>
    </row>
    <row r="9" spans="1:11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/>
      <c r="H9" s="6"/>
      <c r="I9" s="11">
        <v>5</v>
      </c>
      <c r="J9" s="9" t="s">
        <v>116</v>
      </c>
      <c r="K9" s="12">
        <f>MAX(D2:D35)</f>
        <v>1000</v>
      </c>
    </row>
    <row r="10" spans="1:11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/>
      <c r="H10" s="6"/>
    </row>
    <row r="11" spans="1:11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/>
      <c r="H11" s="6"/>
    </row>
    <row r="12" spans="1:11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/>
      <c r="H12" s="6"/>
    </row>
    <row r="13" spans="1:11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/>
      <c r="H13" s="6"/>
    </row>
    <row r="14" spans="1:11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/>
      <c r="H14" s="6"/>
    </row>
    <row r="15" spans="1:11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/>
      <c r="H15" s="6"/>
    </row>
    <row r="16" spans="1:11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/>
      <c r="H16" s="6"/>
    </row>
    <row r="17" spans="1:8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/>
      <c r="H17" s="6"/>
    </row>
    <row r="18" spans="1:8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/>
      <c r="H18" s="6"/>
    </row>
    <row r="19" spans="1:8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/>
      <c r="H19" s="6"/>
    </row>
    <row r="20" spans="1:8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/>
      <c r="H20" s="6"/>
    </row>
    <row r="21" spans="1:8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/>
      <c r="H21" s="6"/>
    </row>
    <row r="22" spans="1:8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/>
      <c r="H22" s="6"/>
    </row>
    <row r="23" spans="1:8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/>
      <c r="H23" s="6"/>
    </row>
    <row r="24" spans="1:8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/>
      <c r="H24" s="6"/>
    </row>
    <row r="25" spans="1:8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/>
      <c r="H25" s="8"/>
    </row>
    <row r="26" spans="1:8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/>
      <c r="H26" s="6"/>
    </row>
    <row r="27" spans="1:8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/>
      <c r="H27" s="6"/>
    </row>
    <row r="28" spans="1:8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/>
      <c r="H28" s="6"/>
    </row>
    <row r="29" spans="1:8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/>
      <c r="H29" s="8"/>
    </row>
    <row r="30" spans="1:8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/>
      <c r="H30" s="6"/>
    </row>
    <row r="31" spans="1:8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/>
      <c r="H31" s="6"/>
    </row>
    <row r="32" spans="1:8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/>
      <c r="H32" s="6"/>
    </row>
    <row r="33" spans="1:8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/>
      <c r="H33" s="6"/>
    </row>
    <row r="34" spans="1:8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/>
      <c r="H34" s="6"/>
    </row>
    <row r="35" spans="1:8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/>
      <c r="H35" s="6"/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134-773C-4E15-B1B6-69BFB5E2495F}">
  <dimension ref="A1:J35"/>
  <sheetViews>
    <sheetView workbookViewId="0">
      <selection activeCell="I20" sqref="I20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6.5703125" customWidth="1"/>
    <col min="9" max="9" width="49.140625" customWidth="1"/>
    <col min="10" max="10" width="14.7109375" customWidth="1"/>
  </cols>
  <sheetData>
    <row r="1" spans="1:10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111</v>
      </c>
    </row>
    <row r="2" spans="1:10" ht="17.2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t="str">
        <f>IF('IF Function'!D2&gt;=500,"HIGH PRICE","LOW PRICE")</f>
        <v>HIGH PRICE</v>
      </c>
    </row>
    <row r="3" spans="1:10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t="str">
        <f>IF('IF Function'!D3&gt;=500,"HIGH PRICE","LOW PRICE")</f>
        <v>LOW PRICE</v>
      </c>
    </row>
    <row r="4" spans="1:10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t="str">
        <f>IF('IF Function'!D4&gt;=500,"HIGH PRICE","LOW PRICE")</f>
        <v>LOW PRICE</v>
      </c>
    </row>
    <row r="5" spans="1:10" ht="16.5" thickBot="1" x14ac:dyDescent="0.3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t="str">
        <f>IF('IF Function'!D5&gt;=500,"HIGH PRICE","LOW PRICE")</f>
        <v>HIGH PRICE</v>
      </c>
      <c r="I5" s="3"/>
    </row>
    <row r="6" spans="1:10" ht="13.5" thickBo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t="str">
        <f>IF('IF Function'!D6&gt;=500,"HIGH PRICE","LOW PRICE")</f>
        <v>LOW PRICE</v>
      </c>
      <c r="H6" s="18" t="s">
        <v>117</v>
      </c>
      <c r="I6" s="19" t="s">
        <v>118</v>
      </c>
      <c r="J6" s="20" t="s">
        <v>119</v>
      </c>
    </row>
    <row r="7" spans="1:10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t="str">
        <f>IF('IF Function'!D7&gt;=500,"HIGH PRICE","LOW PRICE")</f>
        <v>LOW PRICE</v>
      </c>
      <c r="H7" s="38">
        <v>1</v>
      </c>
      <c r="I7" s="36" t="s">
        <v>120</v>
      </c>
      <c r="J7" s="40">
        <f>SUMIF(F2:F35,"Electronics",D2:D35)</f>
        <v>8050</v>
      </c>
    </row>
    <row r="8" spans="1:10" ht="22.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t="str">
        <f>IF('IF Function'!D8&gt;=500,"HIGH PRICE","LOW PRICE")</f>
        <v>LOW PRICE</v>
      </c>
      <c r="H8" s="39"/>
      <c r="I8" s="37"/>
      <c r="J8" s="41"/>
    </row>
    <row r="9" spans="1:10" ht="30" customHeight="1" thickBot="1" x14ac:dyDescent="0.3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t="str">
        <f>IF('IF Function'!D9&gt;=500,"HIGH PRICE","LOW PRICE")</f>
        <v>LOW PRICE</v>
      </c>
      <c r="H9" s="15">
        <v>2</v>
      </c>
      <c r="I9" s="16" t="s">
        <v>121</v>
      </c>
      <c r="J9" s="17">
        <f>COUNTIF(D2:D35,"&lt;100")</f>
        <v>11</v>
      </c>
    </row>
    <row r="10" spans="1:10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t="str">
        <f>IF('IF Function'!D10&gt;=500,"HIGH PRICE","LOW PRICE")</f>
        <v>HIGH PRICE</v>
      </c>
    </row>
    <row r="11" spans="1:10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t="str">
        <f>IF('IF Function'!D11&gt;=500,"HIGH PRICE","LOW PRICE")</f>
        <v>LOW PRICE</v>
      </c>
    </row>
    <row r="12" spans="1:10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t="str">
        <f>IF('IF Function'!D12&gt;=500,"HIGH PRICE","LOW PRICE")</f>
        <v>HIGH PRICE</v>
      </c>
    </row>
    <row r="13" spans="1:10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t="str">
        <f>IF('IF Function'!D13&gt;=500,"HIGH PRICE","LOW PRICE")</f>
        <v>LOW PRICE</v>
      </c>
    </row>
    <row r="14" spans="1:10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t="str">
        <f>IF('IF Function'!D14&gt;=500,"HIGH PRICE","LOW PRICE")</f>
        <v>LOW PRICE</v>
      </c>
    </row>
    <row r="15" spans="1:10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t="str">
        <f>IF('IF Function'!D15&gt;=500,"HIGH PRICE","LOW PRICE")</f>
        <v>LOW PRICE</v>
      </c>
    </row>
    <row r="16" spans="1:10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t="str">
        <f>IF('IF Function'!D16&gt;=500,"HIGH PRICE","LOW PRICE")</f>
        <v>LOW PRICE</v>
      </c>
    </row>
    <row r="17" spans="1:7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t="str">
        <f>IF('IF Function'!D17&gt;=500,"HIGH PRICE","LOW PRICE")</f>
        <v>LOW PRICE</v>
      </c>
    </row>
    <row r="18" spans="1:7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t="str">
        <f>IF('IF Function'!D18&gt;=500,"HIGH PRICE","LOW PRICE")</f>
        <v>LOW PRICE</v>
      </c>
    </row>
    <row r="19" spans="1:7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t="str">
        <f>IF('IF Function'!D19&gt;=500,"HIGH PRICE","LOW PRICE")</f>
        <v>HIGH PRICE</v>
      </c>
    </row>
    <row r="20" spans="1:7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t="str">
        <f>IF('IF Function'!D20&gt;=500,"HIGH PRICE","LOW PRICE")</f>
        <v>LOW PRICE</v>
      </c>
    </row>
    <row r="21" spans="1:7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t="str">
        <f>IF('IF Function'!D21&gt;=500,"HIGH PRICE","LOW PRICE")</f>
        <v>LOW PRICE</v>
      </c>
    </row>
    <row r="22" spans="1:7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t="str">
        <f>IF('IF Function'!D22&gt;=500,"HIGH PRICE","LOW PRICE")</f>
        <v>HIGH PRICE</v>
      </c>
    </row>
    <row r="23" spans="1:7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t="str">
        <f>IF('IF Function'!D23&gt;=500,"HIGH PRICE","LOW PRICE")</f>
        <v>LOW PRICE</v>
      </c>
    </row>
    <row r="24" spans="1:7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t="str">
        <f>IF('IF Function'!D24&gt;=500,"HIGH PRICE","LOW PRICE")</f>
        <v>LOW PRICE</v>
      </c>
    </row>
    <row r="25" spans="1:7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t="str">
        <f>IF('IF Function'!D25&gt;=500,"HIGH PRICE","LOW PRICE")</f>
        <v>LOW PRICE</v>
      </c>
    </row>
    <row r="26" spans="1:7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t="str">
        <f>IF('IF Function'!D26&gt;=500,"HIGH PRICE","LOW PRICE")</f>
        <v>HIGH PRICE</v>
      </c>
    </row>
    <row r="27" spans="1:7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t="str">
        <f>IF('IF Function'!D27&gt;=500,"HIGH PRICE","LOW PRICE")</f>
        <v>LOW PRICE</v>
      </c>
    </row>
    <row r="28" spans="1:7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t="str">
        <f>IF('IF Function'!D28&gt;=500,"HIGH PRICE","LOW PRICE")</f>
        <v>LOW PRICE</v>
      </c>
    </row>
    <row r="29" spans="1:7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t="str">
        <f>IF('IF Function'!D29&gt;=500,"HIGH PRICE","LOW PRICE")</f>
        <v>LOW PRICE</v>
      </c>
    </row>
    <row r="30" spans="1:7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t="str">
        <f>IF('IF Function'!D30&gt;=500,"HIGH PRICE","LOW PRICE")</f>
        <v>LOW PRICE</v>
      </c>
    </row>
    <row r="31" spans="1:7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t="str">
        <f>IF('IF Function'!D31&gt;=500,"HIGH PRICE","LOW PRICE")</f>
        <v>LOW PRICE</v>
      </c>
    </row>
    <row r="32" spans="1:7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t="str">
        <f>IF('IF Function'!D32&gt;=500,"HIGH PRICE","LOW PRICE")</f>
        <v>LOW PRICE</v>
      </c>
    </row>
    <row r="33" spans="1:7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t="str">
        <f>IF('IF Function'!D33&gt;=500,"HIGH PRICE","LOW PRICE")</f>
        <v>LOW PRICE</v>
      </c>
    </row>
    <row r="34" spans="1:7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t="str">
        <f>IF('IF Function'!D34&gt;=500,"HIGH PRICE","LOW PRICE")</f>
        <v>HIGH PRICE</v>
      </c>
    </row>
    <row r="35" spans="1:7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t="str">
        <f>IF('IF Function'!D35&gt;=500,"HIGH PRICE","LOW PRICE")</f>
        <v>LOW PRICE</v>
      </c>
    </row>
  </sheetData>
  <mergeCells count="3">
    <mergeCell ref="I7:I8"/>
    <mergeCell ref="H7:H8"/>
    <mergeCell ref="J7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A0E4-9D47-4A6F-AA54-C91BAC283E2D}">
  <dimension ref="A1:I35"/>
  <sheetViews>
    <sheetView workbookViewId="0">
      <selection activeCell="L4" sqref="L4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8" max="8" width="15.7109375" bestFit="1" customWidth="1"/>
    <col min="9" max="9" width="10.28515625" customWidth="1"/>
  </cols>
  <sheetData>
    <row r="1" spans="1:9" ht="18.75" customHeight="1" thickBot="1" x14ac:dyDescent="0.25">
      <c r="A1" s="32" t="s">
        <v>17</v>
      </c>
      <c r="B1" s="33" t="s">
        <v>18</v>
      </c>
      <c r="C1" s="33" t="s">
        <v>19</v>
      </c>
      <c r="D1" s="33" t="s">
        <v>20</v>
      </c>
      <c r="E1" s="33" t="s">
        <v>21</v>
      </c>
      <c r="F1" s="33" t="s">
        <v>22</v>
      </c>
      <c r="G1" s="34" t="s">
        <v>122</v>
      </c>
      <c r="H1" s="34" t="s">
        <v>123</v>
      </c>
      <c r="I1" s="35" t="s">
        <v>124</v>
      </c>
    </row>
    <row r="2" spans="1:9" x14ac:dyDescent="0.2">
      <c r="A2" s="29" t="s">
        <v>23</v>
      </c>
      <c r="B2" s="30" t="s">
        <v>24</v>
      </c>
      <c r="C2" s="30" t="s">
        <v>25</v>
      </c>
      <c r="D2" s="30">
        <v>1000</v>
      </c>
      <c r="E2" s="30">
        <v>30</v>
      </c>
      <c r="F2" s="30" t="s">
        <v>26</v>
      </c>
      <c r="G2" s="30" t="str">
        <f>LEFT(A2,(2))</f>
        <v>28</v>
      </c>
      <c r="H2" s="30" t="str">
        <f>RIGHT(A2,(2))</f>
        <v>US</v>
      </c>
      <c r="I2" s="31" t="str">
        <f>MID(A2,4,3)</f>
        <v>JAN</v>
      </c>
    </row>
    <row r="3" spans="1:9" x14ac:dyDescent="0.2">
      <c r="A3" s="24" t="s">
        <v>27</v>
      </c>
      <c r="B3" s="21" t="s">
        <v>28</v>
      </c>
      <c r="C3" s="21" t="s">
        <v>29</v>
      </c>
      <c r="D3" s="21">
        <v>80</v>
      </c>
      <c r="E3" s="21">
        <v>15</v>
      </c>
      <c r="F3" s="21" t="s">
        <v>30</v>
      </c>
      <c r="G3" s="21" t="str">
        <f t="shared" ref="G3:G35" si="0">LEFT(A3,(2))</f>
        <v>15</v>
      </c>
      <c r="H3" s="21" t="str">
        <f t="shared" ref="H3:H35" si="1">RIGHT(A3,(2))</f>
        <v>US</v>
      </c>
      <c r="I3" s="25" t="str">
        <f t="shared" ref="I3:I35" si="2">MID(A3,4,3)</f>
        <v>FEB</v>
      </c>
    </row>
    <row r="4" spans="1:9" x14ac:dyDescent="0.2">
      <c r="A4" s="22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G4" s="10" t="str">
        <f t="shared" si="0"/>
        <v>03</v>
      </c>
      <c r="H4" s="10" t="str">
        <f t="shared" si="1"/>
        <v>US</v>
      </c>
      <c r="I4" s="23" t="str">
        <f t="shared" si="2"/>
        <v>MAR</v>
      </c>
    </row>
    <row r="5" spans="1:9" x14ac:dyDescent="0.2">
      <c r="A5" s="24" t="s">
        <v>35</v>
      </c>
      <c r="B5" s="21" t="s">
        <v>36</v>
      </c>
      <c r="C5" s="21" t="s">
        <v>37</v>
      </c>
      <c r="D5" s="21">
        <v>900</v>
      </c>
      <c r="E5" s="21">
        <v>25</v>
      </c>
      <c r="F5" s="21" t="s">
        <v>26</v>
      </c>
      <c r="G5" s="21" t="str">
        <f t="shared" si="0"/>
        <v>11</v>
      </c>
      <c r="H5" s="21" t="str">
        <f t="shared" si="1"/>
        <v>US</v>
      </c>
      <c r="I5" s="25" t="str">
        <f t="shared" si="2"/>
        <v>APR</v>
      </c>
    </row>
    <row r="6" spans="1:9" x14ac:dyDescent="0.2">
      <c r="A6" s="22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  <c r="G6" s="10" t="str">
        <f t="shared" si="0"/>
        <v>22</v>
      </c>
      <c r="H6" s="10" t="str">
        <f t="shared" si="1"/>
        <v>US</v>
      </c>
      <c r="I6" s="23" t="str">
        <f t="shared" si="2"/>
        <v>MAY</v>
      </c>
    </row>
    <row r="7" spans="1:9" x14ac:dyDescent="0.2">
      <c r="A7" s="24" t="s">
        <v>42</v>
      </c>
      <c r="B7" s="21" t="s">
        <v>43</v>
      </c>
      <c r="C7" s="21" t="s">
        <v>44</v>
      </c>
      <c r="D7" s="21">
        <v>200</v>
      </c>
      <c r="E7" s="21">
        <v>45</v>
      </c>
      <c r="F7" s="21" t="s">
        <v>26</v>
      </c>
      <c r="G7" s="21" t="str">
        <f t="shared" si="0"/>
        <v>07</v>
      </c>
      <c r="H7" s="21" t="str">
        <f t="shared" si="1"/>
        <v>UK</v>
      </c>
      <c r="I7" s="25" t="str">
        <f t="shared" si="2"/>
        <v>JUN</v>
      </c>
    </row>
    <row r="8" spans="1:9" x14ac:dyDescent="0.2">
      <c r="A8" s="22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  <c r="G8" s="10" t="str">
        <f t="shared" si="0"/>
        <v>19</v>
      </c>
      <c r="H8" s="10" t="str">
        <f t="shared" si="1"/>
        <v>UK</v>
      </c>
      <c r="I8" s="23" t="str">
        <f t="shared" si="2"/>
        <v>JUL</v>
      </c>
    </row>
    <row r="9" spans="1:9" x14ac:dyDescent="0.2">
      <c r="A9" s="24" t="s">
        <v>48</v>
      </c>
      <c r="B9" s="21" t="s">
        <v>49</v>
      </c>
      <c r="C9" s="21" t="s">
        <v>50</v>
      </c>
      <c r="D9" s="21">
        <v>90</v>
      </c>
      <c r="E9" s="21">
        <v>35</v>
      </c>
      <c r="F9" s="21" t="s">
        <v>34</v>
      </c>
      <c r="G9" s="10" t="str">
        <f t="shared" si="0"/>
        <v>23</v>
      </c>
      <c r="H9" s="10" t="str">
        <f t="shared" si="1"/>
        <v>UK</v>
      </c>
      <c r="I9" s="23" t="str">
        <f t="shared" si="2"/>
        <v>AUG</v>
      </c>
    </row>
    <row r="10" spans="1:9" x14ac:dyDescent="0.2">
      <c r="A10" s="22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  <c r="G10" s="21" t="str">
        <f t="shared" si="0"/>
        <v>05</v>
      </c>
      <c r="H10" s="21" t="str">
        <f t="shared" si="1"/>
        <v>UK</v>
      </c>
      <c r="I10" s="25" t="str">
        <f t="shared" si="2"/>
        <v>SEP</v>
      </c>
    </row>
    <row r="11" spans="1:9" x14ac:dyDescent="0.2">
      <c r="A11" s="24" t="s">
        <v>54</v>
      </c>
      <c r="B11" s="21" t="s">
        <v>55</v>
      </c>
      <c r="C11" s="21" t="s">
        <v>56</v>
      </c>
      <c r="D11" s="21">
        <v>130</v>
      </c>
      <c r="E11" s="21">
        <v>10</v>
      </c>
      <c r="F11" s="21" t="s">
        <v>41</v>
      </c>
      <c r="G11" s="10" t="str">
        <f t="shared" si="0"/>
        <v>14</v>
      </c>
      <c r="H11" s="10" t="str">
        <f t="shared" si="1"/>
        <v>UK</v>
      </c>
      <c r="I11" s="23" t="str">
        <f t="shared" si="2"/>
        <v>OCT</v>
      </c>
    </row>
    <row r="12" spans="1:9" x14ac:dyDescent="0.2">
      <c r="A12" s="22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  <c r="G12" s="21" t="str">
        <f t="shared" si="0"/>
        <v>17</v>
      </c>
      <c r="H12" s="21" t="str">
        <f t="shared" si="1"/>
        <v>IN</v>
      </c>
      <c r="I12" s="25" t="str">
        <f t="shared" si="2"/>
        <v>JUN</v>
      </c>
    </row>
    <row r="13" spans="1:9" x14ac:dyDescent="0.2">
      <c r="A13" s="24" t="s">
        <v>59</v>
      </c>
      <c r="B13" s="21" t="s">
        <v>28</v>
      </c>
      <c r="C13" s="21" t="s">
        <v>47</v>
      </c>
      <c r="D13" s="21">
        <v>90</v>
      </c>
      <c r="E13" s="21">
        <v>40</v>
      </c>
      <c r="F13" s="21" t="s">
        <v>30</v>
      </c>
      <c r="G13" s="10" t="str">
        <f t="shared" si="0"/>
        <v>25</v>
      </c>
      <c r="H13" s="10" t="str">
        <f t="shared" si="1"/>
        <v>AU</v>
      </c>
      <c r="I13" s="23" t="str">
        <f t="shared" si="2"/>
        <v>NOV</v>
      </c>
    </row>
    <row r="14" spans="1:9" x14ac:dyDescent="0.2">
      <c r="A14" s="22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  <c r="G14" s="21" t="str">
        <f t="shared" si="0"/>
        <v>08</v>
      </c>
      <c r="H14" s="21" t="str">
        <f t="shared" si="1"/>
        <v>DE</v>
      </c>
      <c r="I14" s="25" t="str">
        <f t="shared" si="2"/>
        <v>DEC</v>
      </c>
    </row>
    <row r="15" spans="1:9" x14ac:dyDescent="0.2">
      <c r="A15" s="24" t="s">
        <v>62</v>
      </c>
      <c r="B15" s="21" t="s">
        <v>63</v>
      </c>
      <c r="C15" s="21" t="s">
        <v>64</v>
      </c>
      <c r="D15" s="21">
        <v>150</v>
      </c>
      <c r="E15" s="21">
        <v>15</v>
      </c>
      <c r="F15" s="21" t="s">
        <v>26</v>
      </c>
      <c r="G15" s="10" t="str">
        <f t="shared" si="0"/>
        <v>18</v>
      </c>
      <c r="H15" s="10" t="str">
        <f t="shared" si="1"/>
        <v>CA</v>
      </c>
      <c r="I15" s="23" t="str">
        <f t="shared" si="2"/>
        <v>FEB</v>
      </c>
    </row>
    <row r="16" spans="1:9" x14ac:dyDescent="0.2">
      <c r="A16" s="22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  <c r="G16" s="10" t="str">
        <f t="shared" si="0"/>
        <v>16</v>
      </c>
      <c r="H16" s="10" t="str">
        <f t="shared" si="1"/>
        <v>ES</v>
      </c>
      <c r="I16" s="23" t="str">
        <f t="shared" si="2"/>
        <v>APR</v>
      </c>
    </row>
    <row r="17" spans="1:9" x14ac:dyDescent="0.2">
      <c r="A17" s="24" t="s">
        <v>67</v>
      </c>
      <c r="B17" s="21" t="s">
        <v>68</v>
      </c>
      <c r="C17" s="21" t="s">
        <v>69</v>
      </c>
      <c r="D17" s="21">
        <v>50</v>
      </c>
      <c r="E17" s="21">
        <v>35</v>
      </c>
      <c r="F17" s="21" t="s">
        <v>70</v>
      </c>
      <c r="G17" s="21" t="str">
        <f t="shared" si="0"/>
        <v>21</v>
      </c>
      <c r="H17" s="21" t="str">
        <f t="shared" si="1"/>
        <v>CA</v>
      </c>
      <c r="I17" s="25" t="str">
        <f t="shared" si="2"/>
        <v>AUG</v>
      </c>
    </row>
    <row r="18" spans="1:9" x14ac:dyDescent="0.2">
      <c r="A18" s="22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  <c r="G18" s="10" t="str">
        <f t="shared" si="0"/>
        <v>20</v>
      </c>
      <c r="H18" s="10" t="str">
        <f t="shared" si="1"/>
        <v>CN</v>
      </c>
      <c r="I18" s="23" t="str">
        <f t="shared" si="2"/>
        <v>AUG</v>
      </c>
    </row>
    <row r="19" spans="1:9" x14ac:dyDescent="0.2">
      <c r="A19" s="24" t="s">
        <v>73</v>
      </c>
      <c r="B19" s="21" t="s">
        <v>24</v>
      </c>
      <c r="C19" s="21" t="s">
        <v>74</v>
      </c>
      <c r="D19" s="21">
        <v>980</v>
      </c>
      <c r="E19" s="21">
        <v>10</v>
      </c>
      <c r="F19" s="21" t="s">
        <v>26</v>
      </c>
      <c r="G19" s="21" t="str">
        <f t="shared" si="0"/>
        <v>27</v>
      </c>
      <c r="H19" s="21" t="str">
        <f t="shared" si="1"/>
        <v>IT</v>
      </c>
      <c r="I19" s="25" t="str">
        <f t="shared" si="2"/>
        <v>JAN</v>
      </c>
    </row>
    <row r="20" spans="1:9" x14ac:dyDescent="0.2">
      <c r="A20" s="22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  <c r="G20" s="10" t="str">
        <f t="shared" si="0"/>
        <v>01</v>
      </c>
      <c r="H20" s="10" t="str">
        <f t="shared" si="1"/>
        <v>UK</v>
      </c>
      <c r="I20" s="23" t="str">
        <f t="shared" si="2"/>
        <v>MAR</v>
      </c>
    </row>
    <row r="21" spans="1:9" x14ac:dyDescent="0.2">
      <c r="A21" s="24" t="s">
        <v>78</v>
      </c>
      <c r="B21" s="21" t="s">
        <v>79</v>
      </c>
      <c r="C21" s="21" t="s">
        <v>80</v>
      </c>
      <c r="D21" s="21">
        <v>200</v>
      </c>
      <c r="E21" s="21">
        <v>10</v>
      </c>
      <c r="F21" s="21" t="s">
        <v>41</v>
      </c>
      <c r="G21" s="21" t="str">
        <f t="shared" si="0"/>
        <v>14</v>
      </c>
      <c r="H21" s="21" t="str">
        <f t="shared" si="1"/>
        <v>US</v>
      </c>
      <c r="I21" s="25" t="str">
        <f t="shared" si="2"/>
        <v>AUG</v>
      </c>
    </row>
    <row r="22" spans="1:9" x14ac:dyDescent="0.2">
      <c r="A22" s="22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  <c r="G22" s="10" t="str">
        <f t="shared" si="0"/>
        <v>14</v>
      </c>
      <c r="H22" s="10" t="str">
        <f t="shared" si="1"/>
        <v>RU</v>
      </c>
      <c r="I22" s="23" t="str">
        <f t="shared" si="2"/>
        <v>MAY</v>
      </c>
    </row>
    <row r="23" spans="1:9" x14ac:dyDescent="0.2">
      <c r="A23" s="24" t="s">
        <v>84</v>
      </c>
      <c r="B23" s="21" t="s">
        <v>85</v>
      </c>
      <c r="C23" s="21" t="s">
        <v>86</v>
      </c>
      <c r="D23" s="21">
        <v>80</v>
      </c>
      <c r="E23" s="21">
        <v>20</v>
      </c>
      <c r="F23" s="21" t="s">
        <v>34</v>
      </c>
      <c r="G23" s="10" t="str">
        <f t="shared" si="0"/>
        <v>09</v>
      </c>
      <c r="H23" s="10" t="str">
        <f t="shared" si="1"/>
        <v>CA</v>
      </c>
      <c r="I23" s="23" t="str">
        <f t="shared" si="2"/>
        <v>JAN</v>
      </c>
    </row>
    <row r="24" spans="1:9" x14ac:dyDescent="0.2">
      <c r="A24" s="22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  <c r="G24" s="21" t="str">
        <f t="shared" si="0"/>
        <v>19</v>
      </c>
      <c r="H24" s="21" t="str">
        <f t="shared" si="1"/>
        <v>BR</v>
      </c>
      <c r="I24" s="25" t="str">
        <f t="shared" si="2"/>
        <v>JUL</v>
      </c>
    </row>
    <row r="25" spans="1:9" x14ac:dyDescent="0.2">
      <c r="A25" s="24" t="s">
        <v>67</v>
      </c>
      <c r="B25" s="21" t="s">
        <v>68</v>
      </c>
      <c r="C25" s="21" t="s">
        <v>69</v>
      </c>
      <c r="D25" s="21">
        <v>50</v>
      </c>
      <c r="E25" s="21">
        <v>35</v>
      </c>
      <c r="F25" s="21" t="s">
        <v>70</v>
      </c>
      <c r="G25" s="10" t="str">
        <f t="shared" si="0"/>
        <v>21</v>
      </c>
      <c r="H25" s="10" t="str">
        <f t="shared" si="1"/>
        <v>CA</v>
      </c>
      <c r="I25" s="23" t="str">
        <f t="shared" si="2"/>
        <v>AUG</v>
      </c>
    </row>
    <row r="26" spans="1:9" x14ac:dyDescent="0.2">
      <c r="A26" s="22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  <c r="G26" s="21" t="str">
        <f t="shared" si="0"/>
        <v>29</v>
      </c>
      <c r="H26" s="21" t="str">
        <f t="shared" si="1"/>
        <v>CA</v>
      </c>
      <c r="I26" s="25" t="str">
        <f t="shared" si="2"/>
        <v>SEP</v>
      </c>
    </row>
    <row r="27" spans="1:9" x14ac:dyDescent="0.2">
      <c r="A27" s="24" t="s">
        <v>92</v>
      </c>
      <c r="B27" s="21" t="s">
        <v>76</v>
      </c>
      <c r="C27" s="21" t="s">
        <v>93</v>
      </c>
      <c r="D27" s="21">
        <v>130</v>
      </c>
      <c r="E27" s="21">
        <v>25</v>
      </c>
      <c r="F27" s="21" t="s">
        <v>30</v>
      </c>
      <c r="G27" s="10" t="str">
        <f t="shared" si="0"/>
        <v>03</v>
      </c>
      <c r="H27" s="10" t="str">
        <f t="shared" si="1"/>
        <v>CA</v>
      </c>
      <c r="I27" s="23" t="str">
        <f t="shared" si="2"/>
        <v>JUN</v>
      </c>
    </row>
    <row r="28" spans="1:9" x14ac:dyDescent="0.2">
      <c r="A28" s="22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  <c r="G28" s="21" t="str">
        <f t="shared" si="0"/>
        <v>11</v>
      </c>
      <c r="H28" s="21" t="str">
        <f t="shared" si="1"/>
        <v>CA</v>
      </c>
      <c r="I28" s="25" t="str">
        <f t="shared" si="2"/>
        <v>JUL</v>
      </c>
    </row>
    <row r="29" spans="1:9" x14ac:dyDescent="0.2">
      <c r="A29" s="24" t="s">
        <v>65</v>
      </c>
      <c r="B29" s="21" t="s">
        <v>43</v>
      </c>
      <c r="C29" s="21" t="s">
        <v>66</v>
      </c>
      <c r="D29" s="21">
        <v>230</v>
      </c>
      <c r="E29" s="21">
        <v>20</v>
      </c>
      <c r="F29" s="21" t="s">
        <v>26</v>
      </c>
      <c r="G29" s="10" t="str">
        <f t="shared" si="0"/>
        <v>16</v>
      </c>
      <c r="H29" s="10" t="str">
        <f t="shared" si="1"/>
        <v>ES</v>
      </c>
      <c r="I29" s="23" t="str">
        <f t="shared" si="2"/>
        <v>APR</v>
      </c>
    </row>
    <row r="30" spans="1:9" x14ac:dyDescent="0.2">
      <c r="A30" s="22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  <c r="G30" s="10" t="str">
        <f t="shared" si="0"/>
        <v>07</v>
      </c>
      <c r="H30" s="10" t="str">
        <f t="shared" si="1"/>
        <v>CA</v>
      </c>
      <c r="I30" s="23" t="str">
        <f t="shared" si="2"/>
        <v>MAR</v>
      </c>
    </row>
    <row r="31" spans="1:9" x14ac:dyDescent="0.2">
      <c r="A31" s="24" t="s">
        <v>99</v>
      </c>
      <c r="B31" s="21" t="s">
        <v>100</v>
      </c>
      <c r="C31" s="21" t="s">
        <v>101</v>
      </c>
      <c r="D31" s="21">
        <v>40</v>
      </c>
      <c r="E31" s="21">
        <v>10</v>
      </c>
      <c r="F31" s="21" t="s">
        <v>34</v>
      </c>
      <c r="G31" s="21" t="str">
        <f t="shared" si="0"/>
        <v>13</v>
      </c>
      <c r="H31" s="21" t="str">
        <f t="shared" si="1"/>
        <v>CA</v>
      </c>
      <c r="I31" s="25" t="str">
        <f t="shared" si="2"/>
        <v>APR</v>
      </c>
    </row>
    <row r="32" spans="1:9" x14ac:dyDescent="0.2">
      <c r="A32" s="22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  <c r="G32" s="10" t="str">
        <f t="shared" si="0"/>
        <v>24</v>
      </c>
      <c r="H32" s="10" t="str">
        <f t="shared" si="1"/>
        <v>CA</v>
      </c>
      <c r="I32" s="23" t="str">
        <f t="shared" si="2"/>
        <v>MAY</v>
      </c>
    </row>
    <row r="33" spans="1:9" x14ac:dyDescent="0.2">
      <c r="A33" s="24" t="s">
        <v>104</v>
      </c>
      <c r="B33" s="21" t="s">
        <v>105</v>
      </c>
      <c r="C33" s="21" t="s">
        <v>106</v>
      </c>
      <c r="D33" s="21">
        <v>50</v>
      </c>
      <c r="E33" s="21">
        <v>50</v>
      </c>
      <c r="F33" s="21" t="s">
        <v>30</v>
      </c>
      <c r="G33" s="21" t="str">
        <f t="shared" si="0"/>
        <v>02</v>
      </c>
      <c r="H33" s="21" t="str">
        <f t="shared" si="1"/>
        <v>CA</v>
      </c>
      <c r="I33" s="25" t="str">
        <f t="shared" si="2"/>
        <v>DEC</v>
      </c>
    </row>
    <row r="34" spans="1:9" x14ac:dyDescent="0.2">
      <c r="A34" s="22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  <c r="G34" s="10" t="str">
        <f t="shared" si="0"/>
        <v>17</v>
      </c>
      <c r="H34" s="10" t="str">
        <f t="shared" si="1"/>
        <v>IN</v>
      </c>
      <c r="I34" s="23" t="str">
        <f t="shared" si="2"/>
        <v>JUN</v>
      </c>
    </row>
    <row r="35" spans="1:9" ht="13.5" thickBot="1" x14ac:dyDescent="0.25">
      <c r="A35" s="26" t="s">
        <v>107</v>
      </c>
      <c r="B35" s="27" t="s">
        <v>108</v>
      </c>
      <c r="C35" s="27" t="s">
        <v>109</v>
      </c>
      <c r="D35" s="27">
        <v>100</v>
      </c>
      <c r="E35" s="27">
        <v>20</v>
      </c>
      <c r="F35" s="27" t="s">
        <v>70</v>
      </c>
      <c r="G35" s="27" t="str">
        <f t="shared" si="0"/>
        <v>09</v>
      </c>
      <c r="H35" s="27" t="str">
        <f t="shared" si="1"/>
        <v>FR</v>
      </c>
      <c r="I35" s="28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IF Function</vt:lpstr>
      <vt:lpstr>LEFT, RIGHT, 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archana asok</cp:lastModifiedBy>
  <dcterms:created xsi:type="dcterms:W3CDTF">2025-10-03T13:58:29Z</dcterms:created>
  <dcterms:modified xsi:type="dcterms:W3CDTF">2026-08-14T11:29:43Z</dcterms:modified>
</cp:coreProperties>
</file>